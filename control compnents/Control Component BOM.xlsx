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<sst xmlns="http://schemas.openxmlformats.org/spreadsheetml/2006/main" count="35" uniqueCount="32">
  <si>
    <t>Component BOM</t>
  </si>
  <si>
    <t>Control Components</t>
  </si>
  <si>
    <t>ITEM CODE</t>
  </si>
  <si>
    <t>QUANTITY</t>
  </si>
  <si>
    <t>DESCRIPTION</t>
  </si>
  <si>
    <t>PRICE</t>
  </si>
  <si>
    <t>LENGTH</t>
  </si>
  <si>
    <t>SUBTOTAL</t>
  </si>
  <si>
    <t>TOTAL</t>
  </si>
  <si>
    <t>Item Code</t>
  </si>
  <si>
    <t>Qty</t>
  </si>
  <si>
    <t>Description</t>
  </si>
  <si>
    <t>Price</t>
  </si>
  <si>
    <t>Length</t>
  </si>
  <si>
    <t>Subtotal</t>
  </si>
  <si>
    <t>Total</t>
  </si>
  <si>
    <t>Tubular photo sensor: 3-1200mm range, diffuse (PN# LTR-M18PA-PMK-603) | AutomationDirect</t>
  </si>
  <si>
    <t xml:space="preserve">Contrinex photoelectric sensor, tubular, threaded, diffuse, visible red, 3-1200mm sensing distance, complementary light-on/dark-on, PNP, potentiometer, 1.5 kHz switching frequency, ABS plastic housing, pigtail.
</t>
  </si>
  <si>
    <t>6.5ft/2m</t>
  </si>
  <si>
    <t>FDMR-0N-1A</t>
  </si>
  <si>
    <t>AchieVe photoelectric sensor, tubular, threaded, metal housing, through-beam receiver, 4m sensing distance, 10-30 VDC operating voltage, selectable light-on/dark-on, NPN, 4-wire, pigtail.</t>
  </si>
  <si>
    <t>FDME-00-1A</t>
  </si>
  <si>
    <t>AchieVe photoelectric sensor, tubular, threaded, metal housing, through-beam emitter, infrared, 4m sensing distance, 10-30 VDC operating voltage, 3-wire, pigtail.</t>
  </si>
  <si>
    <r>
      <rPr>
        <color rgb="FF1155CC"/>
        <u/>
      </rPr>
      <t>Inductive Proximity Sensor: 4mm diameter x 30.2mm body, 0.8mm range (PN# AC1-AP-1A) | AutomationDirect</t>
    </r>
  </si>
  <si>
    <t>Micro Detectors inductive proximity sensor, tubular, 4mm diameter x 30.2mm body, stainless steel housing, PNP, N.O. output, 0.8mm sensing distance, flush, 7 kHz switching frequency, IP67, pigtail</t>
  </si>
  <si>
    <r>
      <rPr>
        <color rgb="FF1155CC"/>
        <u/>
      </rPr>
      <t>Limit Switch: lever (PN# 176102-1) | AutomationDirect</t>
    </r>
  </si>
  <si>
    <t xml:space="preserve">IDEM micro limit switch, lever, (1) N.O./(1) N.C. contact(s), snap action, 25.4mm hole spacing, polybutylene terephthalate, screw terminals.
</t>
  </si>
  <si>
    <t>Cables not included, will cut wire</t>
  </si>
  <si>
    <t>TOTAL:</t>
  </si>
  <si>
    <t>DISCOUNT:</t>
  </si>
  <si>
    <t>PRICE AFTER DISCOUNT:</t>
  </si>
  <si>
    <t>PRICE PER CART: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</si>
</sst>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&quot;$&quot;#,##0.00_);[Red](&quot;$&quot;#,##0.00)"/>
  </numFmts>
  <fonts count="23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b/>
      <sz val="36.0"/>
      <color rgb="FF244372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b/>
      <sz val="18.0"/>
      <color rgb="FFFFFFFF"/>
      <name val="Economica"/>
    </font>
    <font>
      <b/>
      <sz val="14.0"/>
      <color rgb="FF000000"/>
      <name val="Economica"/>
    </font>
    <font>
      <b/>
      <sz val="14.0"/>
      <color rgb="FF244372"/>
      <name val="Economica"/>
    </font>
    <font>
      <color rgb="FFFFFFFF"/>
    </font>
    <font>
      <name val="Open Sans"/>
    </font>
    <font>
      <b/>
      <name val="Arial"/>
    </font>
    <font>
      <b/>
      <color rgb="FF000000"/>
      <name val="Open Sans"/>
    </font>
    <font>
      <color rgb="FF000000"/>
      <name val="Open Sans"/>
    </font>
    <font>
      <u/>
      <color rgb="FF0000FF"/>
    </font>
    <font>
      <name val="Arial"/>
    </font>
    <font>
      <sz val="11.0"/>
      <color rgb="FF333333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name val="Open Sans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95F2B"/>
        <bgColor rgb="FFC95F2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FFFFF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horizontal="left" readingOrder="0" shrinkToFit="0" vertical="top" wrapText="1"/>
    </xf>
    <xf borderId="2" fillId="2" fontId="7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horizontal="left" readingOrder="0" shrinkToFit="0" vertical="top" wrapText="1"/>
    </xf>
    <xf borderId="1" fillId="2" fontId="8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ill="1" applyFont="1">
      <alignment readingOrder="0" shrinkToFit="0" wrapText="1"/>
    </xf>
    <xf borderId="5" fillId="3" fontId="10" numFmtId="0" xfId="0" applyAlignment="1" applyBorder="1" applyFont="1">
      <alignment readingOrder="0" shrinkToFit="0" vertical="center" wrapText="1"/>
    </xf>
    <xf borderId="5" fillId="3" fontId="10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horizontal="right" readingOrder="0" shrinkToFit="0" vertical="center" wrapText="1"/>
    </xf>
    <xf borderId="6" fillId="4" fontId="11" numFmtId="0" xfId="0" applyAlignment="1" applyBorder="1" applyFill="1" applyFont="1">
      <alignment readingOrder="0"/>
    </xf>
    <xf borderId="0" fillId="4" fontId="12" numFmtId="0" xfId="0" applyAlignment="1" applyFont="1">
      <alignment horizontal="center" vertical="bottom"/>
    </xf>
    <xf borderId="0" fillId="4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readingOrder="0" vertical="bottom"/>
    </xf>
    <xf borderId="6" fillId="4" fontId="13" numFmtId="164" xfId="0" applyAlignment="1" applyBorder="1" applyFont="1" applyNumberFormat="1">
      <alignment horizontal="center" readingOrder="0" vertical="center"/>
    </xf>
    <xf borderId="6" fillId="4" fontId="14" numFmtId="165" xfId="0" applyAlignment="1" applyBorder="1" applyFont="1" applyNumberFormat="1">
      <alignment horizontal="right" readingOrder="0"/>
    </xf>
    <xf borderId="6" fillId="5" fontId="11" numFmtId="0" xfId="0" applyAlignment="1" applyBorder="1" applyFill="1" applyFont="1">
      <alignment readingOrder="0"/>
    </xf>
    <xf borderId="0" fillId="5" fontId="15" numFmtId="0" xfId="0" applyAlignment="1" applyFont="1">
      <alignment readingOrder="0" shrinkToFit="0" wrapText="1"/>
    </xf>
    <xf borderId="0" fillId="5" fontId="16" numFmtId="0" xfId="0" applyAlignment="1" applyFont="1">
      <alignment horizontal="center" vertical="center"/>
    </xf>
    <xf borderId="0" fillId="5" fontId="16" numFmtId="0" xfId="0" applyAlignment="1" applyFont="1">
      <alignment readingOrder="0" shrinkToFit="0" vertical="center" wrapText="1"/>
    </xf>
    <xf borderId="0" fillId="5" fontId="16" numFmtId="166" xfId="0" applyAlignment="1" applyFont="1" applyNumberFormat="1">
      <alignment horizontal="center" readingOrder="0" vertical="center"/>
    </xf>
    <xf borderId="0" fillId="5" fontId="17" numFmtId="0" xfId="0" applyAlignment="1" applyFont="1">
      <alignment horizontal="center" readingOrder="0" vertical="center"/>
    </xf>
    <xf borderId="0" fillId="5" fontId="16" numFmtId="166" xfId="0" applyAlignment="1" applyFont="1" applyNumberFormat="1">
      <alignment horizontal="center" vertical="center"/>
    </xf>
    <xf borderId="6" fillId="5" fontId="14" numFmtId="164" xfId="0" applyAlignment="1" applyBorder="1" applyFont="1" applyNumberFormat="1">
      <alignment horizontal="center" readingOrder="0" vertical="center"/>
    </xf>
    <xf borderId="6" fillId="5" fontId="14" numFmtId="165" xfId="0" applyAlignment="1" applyBorder="1" applyFont="1" applyNumberFormat="1">
      <alignment horizontal="right" readingOrder="0"/>
    </xf>
    <xf borderId="6" fillId="6" fontId="11" numFmtId="0" xfId="0" applyAlignment="1" applyBorder="1" applyFill="1" applyFont="1">
      <alignment readingOrder="0"/>
    </xf>
    <xf borderId="0" fillId="6" fontId="18" numFmtId="0" xfId="0" applyAlignment="1" applyFont="1">
      <alignment horizontal="center" readingOrder="0" vertical="center"/>
    </xf>
    <xf borderId="0" fillId="6" fontId="16" numFmtId="0" xfId="0" applyAlignment="1" applyFont="1">
      <alignment horizontal="center" vertical="center"/>
    </xf>
    <xf borderId="0" fillId="6" fontId="16" numFmtId="0" xfId="0" applyAlignment="1" applyFont="1">
      <alignment shrinkToFit="0" vertical="bottom" wrapText="1"/>
    </xf>
    <xf borderId="0" fillId="6" fontId="16" numFmtId="166" xfId="0" applyAlignment="1" applyFont="1" applyNumberFormat="1">
      <alignment horizontal="center" vertical="center"/>
    </xf>
    <xf borderId="6" fillId="6" fontId="14" numFmtId="164" xfId="0" applyAlignment="1" applyBorder="1" applyFont="1" applyNumberFormat="1">
      <alignment horizontal="center" readingOrder="0" vertical="center"/>
    </xf>
    <xf borderId="6" fillId="6" fontId="14" numFmtId="165" xfId="0" applyAlignment="1" applyBorder="1" applyFont="1" applyNumberFormat="1">
      <alignment horizontal="right" readingOrder="0"/>
    </xf>
    <xf borderId="0" fillId="5" fontId="19" numFmtId="0" xfId="0" applyAlignment="1" applyFont="1">
      <alignment horizontal="center" readingOrder="0" vertical="center"/>
    </xf>
    <xf borderId="0" fillId="5" fontId="16" numFmtId="0" xfId="0" applyAlignment="1" applyFont="1">
      <alignment shrinkToFit="0" vertical="bottom" wrapText="1"/>
    </xf>
    <xf borderId="0" fillId="6" fontId="20" numFmtId="0" xfId="0" applyAlignment="1" applyFont="1">
      <alignment horizontal="center" readingOrder="0" shrinkToFit="0" vertical="center" wrapText="1"/>
    </xf>
    <xf borderId="0" fillId="6" fontId="16" numFmtId="0" xfId="0" applyAlignment="1" applyFont="1">
      <alignment horizontal="center" readingOrder="0" vertical="center"/>
    </xf>
    <xf borderId="0" fillId="6" fontId="16" numFmtId="0" xfId="0" applyAlignment="1" applyFont="1">
      <alignment readingOrder="0" shrinkToFit="0" vertical="center" wrapText="1"/>
    </xf>
    <xf borderId="0" fillId="6" fontId="16" numFmtId="166" xfId="0" applyAlignment="1" applyFont="1" applyNumberFormat="1">
      <alignment horizontal="center" readingOrder="0" vertical="center"/>
    </xf>
    <xf borderId="0" fillId="5" fontId="21" numFmtId="0" xfId="0" applyAlignment="1" applyFont="1">
      <alignment horizontal="center" readingOrder="0" shrinkToFit="0" vertical="center" wrapText="1"/>
    </xf>
    <xf borderId="0" fillId="5" fontId="16" numFmtId="0" xfId="0" applyAlignment="1" applyFont="1">
      <alignment readingOrder="0" shrinkToFit="0" vertical="bottom" wrapText="1"/>
    </xf>
    <xf borderId="0" fillId="5" fontId="4" numFmtId="0" xfId="0" applyAlignment="1" applyFont="1">
      <alignment horizontal="center" readingOrder="0" shrinkToFit="0" vertical="center" wrapText="1"/>
    </xf>
    <xf borderId="6" fillId="3" fontId="11" numFmtId="0" xfId="0" applyBorder="1" applyFont="1"/>
    <xf borderId="6" fillId="3" fontId="11" numFmtId="0" xfId="0" applyAlignment="1" applyBorder="1" applyFont="1">
      <alignment shrinkToFit="0" wrapText="1"/>
    </xf>
    <xf borderId="6" fillId="3" fontId="11" numFmtId="0" xfId="0" applyAlignment="1" applyBorder="1" applyFont="1">
      <alignment horizontal="left"/>
    </xf>
    <xf borderId="6" fillId="3" fontId="11" numFmtId="0" xfId="0" applyAlignment="1" applyBorder="1" applyFont="1">
      <alignment horizontal="right"/>
    </xf>
    <xf borderId="6" fillId="3" fontId="14" numFmtId="165" xfId="0" applyAlignment="1" applyBorder="1" applyFont="1" applyNumberFormat="1">
      <alignment horizontal="right" readingOrder="0"/>
    </xf>
    <xf borderId="6" fillId="5" fontId="11" numFmtId="0" xfId="0" applyBorder="1" applyFont="1"/>
    <xf borderId="6" fillId="5" fontId="11" numFmtId="0" xfId="0" applyAlignment="1" applyBorder="1" applyFont="1">
      <alignment shrinkToFit="0" wrapText="1"/>
    </xf>
    <xf borderId="6" fillId="5" fontId="11" numFmtId="0" xfId="0" applyAlignment="1" applyBorder="1" applyFont="1">
      <alignment horizontal="left"/>
    </xf>
    <xf borderId="7" fillId="5" fontId="13" numFmtId="0" xfId="0" applyAlignment="1" applyBorder="1" applyFont="1">
      <alignment horizontal="right" readingOrder="0"/>
    </xf>
    <xf borderId="8" fillId="5" fontId="4" numFmtId="0" xfId="0" applyBorder="1" applyFont="1"/>
    <xf borderId="6" fillId="5" fontId="22" numFmtId="164" xfId="0" applyAlignment="1" applyBorder="1" applyFont="1" applyNumberFormat="1">
      <alignment horizontal="center" readingOrder="0" vertical="center"/>
    </xf>
    <xf borderId="6" fillId="6" fontId="11" numFmtId="0" xfId="0" applyBorder="1" applyFont="1"/>
    <xf borderId="6" fillId="6" fontId="11" numFmtId="0" xfId="0" applyAlignment="1" applyBorder="1" applyFont="1">
      <alignment shrinkToFit="0" wrapText="1"/>
    </xf>
    <xf borderId="6" fillId="6" fontId="11" numFmtId="0" xfId="0" applyAlignment="1" applyBorder="1" applyFont="1">
      <alignment horizontal="left"/>
    </xf>
    <xf borderId="7" fillId="6" fontId="13" numFmtId="0" xfId="0" applyAlignment="1" applyBorder="1" applyFont="1">
      <alignment horizontal="right" readingOrder="0"/>
    </xf>
    <xf borderId="8" fillId="6" fontId="4" numFmtId="0" xfId="0" applyBorder="1" applyFont="1"/>
    <xf borderId="6" fillId="6" fontId="13" numFmtId="9" xfId="0" applyAlignment="1" applyBorder="1" applyFont="1" applyNumberFormat="1">
      <alignment horizontal="center" readingOrder="0"/>
    </xf>
    <xf borderId="6" fillId="5" fontId="22" numFmtId="0" xfId="0" applyAlignment="1" applyBorder="1" applyFont="1">
      <alignment horizontal="right"/>
    </xf>
    <xf borderId="6" fillId="5" fontId="13" numFmtId="0" xfId="0" applyAlignment="1" applyBorder="1" applyFont="1">
      <alignment horizontal="right" readingOrder="0"/>
    </xf>
    <xf borderId="6" fillId="6" fontId="22" numFmtId="0" xfId="0" applyAlignment="1" applyBorder="1" applyFont="1">
      <alignment horizontal="right"/>
    </xf>
    <xf borderId="6" fillId="6" fontId="13" numFmtId="0" xfId="0" applyAlignment="1" applyBorder="1" applyFont="1">
      <alignment horizontal="right" readingOrder="0"/>
    </xf>
    <xf borderId="6" fillId="6" fontId="22" numFmtId="164" xfId="0" applyAlignment="1" applyBorder="1" applyFont="1" applyNumberFormat="1">
      <alignment horizontal="center" readingOrder="0" vertical="center"/>
    </xf>
    <xf borderId="9" fillId="6" fontId="11" numFmtId="0" xfId="0" applyBorder="1" applyFont="1"/>
    <xf borderId="9" fillId="6" fontId="11" numFmtId="0" xfId="0" applyAlignment="1" applyBorder="1" applyFont="1">
      <alignment shrinkToFit="0" wrapText="1"/>
    </xf>
    <xf borderId="9" fillId="6" fontId="11" numFmtId="0" xfId="0" applyAlignment="1" applyBorder="1" applyFont="1">
      <alignment horizontal="left"/>
    </xf>
    <xf borderId="9" fillId="6" fontId="11" numFmtId="0" xfId="0" applyAlignment="1" applyBorder="1" applyFont="1">
      <alignment horizontal="right"/>
    </xf>
    <xf borderId="9" fillId="6" fontId="14" numFmtId="165" xfId="0" applyAlignment="1" applyBorder="1" applyFont="1" applyNumberFormat="1">
      <alignment horizontal="right" readingOrder="0"/>
    </xf>
    <xf borderId="10" fillId="0" fontId="11" numFmtId="0" xfId="0" applyBorder="1" applyFont="1"/>
    <xf borderId="10" fillId="0" fontId="11" numFmtId="0" xfId="0" applyAlignment="1" applyBorder="1" applyFont="1">
      <alignment shrinkToFit="0" wrapText="1"/>
    </xf>
    <xf borderId="10" fillId="0" fontId="11" numFmtId="0" xfId="0" applyAlignment="1" applyBorder="1" applyFont="1">
      <alignment horizontal="left"/>
    </xf>
    <xf borderId="10" fillId="0" fontId="11" numFmtId="0" xfId="0" applyAlignment="1" applyBorder="1" applyFont="1">
      <alignment horizontal="right"/>
    </xf>
    <xf borderId="10" fillId="0" fontId="14" numFmtId="165" xfId="0" applyAlignment="1" applyBorder="1" applyFont="1" applyNumberFormat="1">
      <alignment horizontal="right" readingOrder="0"/>
    </xf>
    <xf borderId="10" fillId="0" fontId="14" numFmtId="0" xfId="0" applyAlignment="1" applyBorder="1" applyFont="1">
      <alignment horizontal="right" readingOrder="0"/>
    </xf>
    <xf borderId="10" fillId="0" fontId="11" numFmtId="0" xfId="0" applyAlignment="1" applyBorder="1" applyFont="1">
      <alignment horizontal="right" readingOrder="0"/>
    </xf>
    <xf borderId="11" fillId="0" fontId="11" numFmtId="0" xfId="0" applyBorder="1" applyFont="1"/>
    <xf borderId="11" fillId="0" fontId="11" numFmtId="0" xfId="0" applyAlignment="1" applyBorder="1" applyFont="1">
      <alignment shrinkToFit="0" wrapText="1"/>
    </xf>
    <xf borderId="11" fillId="0" fontId="11" numFmtId="0" xfId="0" applyAlignment="1" applyBorder="1" applyFont="1">
      <alignment horizontal="left"/>
    </xf>
    <xf borderId="11" fillId="0" fontId="11" numFmtId="0" xfId="0" applyAlignment="1" applyBorder="1" applyFont="1">
      <alignment horizontal="right"/>
    </xf>
    <xf borderId="11" fillId="0" fontId="14" numFmtId="165" xfId="0" applyAlignment="1" applyBorder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0</xdr:row>
      <xdr:rowOff>123825</xdr:rowOff>
    </xdr:from>
    <xdr:ext cx="2638425" cy="82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tomationdirect.com/adc/shopping/catalog/sensors_-z-_encoders/photoelectric_sensors/diffuse/ltr-m18pa-pmk-603" TargetMode="External"/><Relationship Id="rId2" Type="http://schemas.openxmlformats.org/officeDocument/2006/relationships/hyperlink" Target="https://www.automationdirect.com/adc/shopping/catalog/sensors_-z-_encoders/photoelectric_sensors/through-beam/fdmr-0n-1a" TargetMode="External"/><Relationship Id="rId3" Type="http://schemas.openxmlformats.org/officeDocument/2006/relationships/hyperlink" Target="https://www.automationdirect.com/adc/shopping/catalog/sensors_-z-_encoders/photoelectric_sensors/through-beam/fdme-00-1a" TargetMode="External"/><Relationship Id="rId4" Type="http://schemas.openxmlformats.org/officeDocument/2006/relationships/hyperlink" Target="https://www.automationdirect.com/adc/shopping/catalog/sensors_-z-_encoders/inductive_proximity_sensors/4mm_tubular/ac1-ap-1a" TargetMode="External"/><Relationship Id="rId5" Type="http://schemas.openxmlformats.org/officeDocument/2006/relationships/hyperlink" Target="https://www.automationdirect.com/adc/shopping/catalog/sensors_-z-_encoders/limit_switches/lever_actuator/176102-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5"/>
    <col customWidth="1" min="2" max="2" width="14.5"/>
    <col customWidth="1" min="3" max="3" width="9.88"/>
    <col customWidth="1" min="4" max="4" width="47.75"/>
    <col customWidth="1" min="5" max="5" width="12.25"/>
    <col customWidth="1" min="6" max="6" width="9.75"/>
    <col customWidth="1" min="7" max="8" width="12.25"/>
    <col customWidth="1" min="9" max="9" width="2.5"/>
  </cols>
  <sheetData>
    <row r="1" ht="12.0" customHeight="1">
      <c r="A1" s="1"/>
      <c r="B1" s="1"/>
      <c r="C1" s="1"/>
      <c r="D1" s="1"/>
      <c r="E1" s="2"/>
      <c r="F1" s="3"/>
      <c r="G1" s="2"/>
      <c r="H1" s="1"/>
      <c r="I1" s="2"/>
    </row>
    <row r="2" ht="44.25" customHeight="1">
      <c r="A2" s="1"/>
      <c r="B2" s="4" t="s">
        <v>0</v>
      </c>
      <c r="C2" s="5"/>
      <c r="D2" s="6"/>
      <c r="E2" s="7"/>
      <c r="F2" s="5"/>
      <c r="G2" s="5"/>
      <c r="H2" s="6"/>
      <c r="I2" s="8"/>
    </row>
    <row r="3" ht="23.25" customHeight="1">
      <c r="A3" s="1"/>
      <c r="B3" s="9" t="s">
        <v>1</v>
      </c>
      <c r="C3" s="5"/>
      <c r="D3" s="6"/>
      <c r="E3" s="10"/>
      <c r="F3" s="10"/>
      <c r="G3" s="10"/>
      <c r="H3" s="10"/>
      <c r="I3" s="8"/>
    </row>
    <row r="4" ht="29.25" customHeight="1">
      <c r="A4" s="11"/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1"/>
    </row>
    <row r="5" ht="4.5" customHeight="1">
      <c r="A5" s="13"/>
      <c r="B5" s="14"/>
      <c r="C5" s="14"/>
      <c r="D5" s="14"/>
      <c r="E5" s="15"/>
      <c r="F5" s="16"/>
      <c r="G5" s="16"/>
      <c r="H5" s="16"/>
      <c r="I5" s="13"/>
    </row>
    <row r="6" ht="1.5" customHeight="1">
      <c r="A6" s="17"/>
      <c r="B6" s="18" t="s">
        <v>9</v>
      </c>
      <c r="C6" s="18" t="s">
        <v>10</v>
      </c>
      <c r="D6" s="18" t="s">
        <v>11</v>
      </c>
      <c r="E6" s="19" t="s">
        <v>12</v>
      </c>
      <c r="F6" s="20" t="s">
        <v>13</v>
      </c>
      <c r="G6" s="21" t="s">
        <v>14</v>
      </c>
      <c r="H6" s="21" t="s">
        <v>15</v>
      </c>
      <c r="I6" s="22"/>
    </row>
    <row r="7">
      <c r="A7" s="23"/>
      <c r="B7" s="24" t="s">
        <v>16</v>
      </c>
      <c r="C7" s="25">
        <v>6.0</v>
      </c>
      <c r="D7" s="26" t="s">
        <v>17</v>
      </c>
      <c r="E7" s="27">
        <v>27.0</v>
      </c>
      <c r="F7" s="28" t="s">
        <v>18</v>
      </c>
      <c r="G7" s="29">
        <f t="shared" ref="G7:G11" si="1">C7*E7</f>
        <v>162</v>
      </c>
      <c r="H7" s="30">
        <f t="shared" ref="H7:H11" si="2">sum($G$7:G7)</f>
        <v>162</v>
      </c>
      <c r="I7" s="31"/>
    </row>
    <row r="8">
      <c r="A8" s="32"/>
      <c r="B8" s="33" t="s">
        <v>19</v>
      </c>
      <c r="C8" s="34">
        <v>2.0</v>
      </c>
      <c r="D8" s="35" t="s">
        <v>20</v>
      </c>
      <c r="E8" s="36">
        <v>35.0</v>
      </c>
      <c r="F8" s="28" t="s">
        <v>18</v>
      </c>
      <c r="G8" s="36">
        <f t="shared" si="1"/>
        <v>70</v>
      </c>
      <c r="H8" s="37">
        <f t="shared" si="2"/>
        <v>232</v>
      </c>
      <c r="I8" s="38"/>
    </row>
    <row r="9">
      <c r="A9" s="23"/>
      <c r="B9" s="39" t="s">
        <v>21</v>
      </c>
      <c r="C9" s="25">
        <v>2.0</v>
      </c>
      <c r="D9" s="40" t="s">
        <v>22</v>
      </c>
      <c r="E9" s="29">
        <v>28.5</v>
      </c>
      <c r="F9" s="28" t="s">
        <v>18</v>
      </c>
      <c r="G9" s="29">
        <f t="shared" si="1"/>
        <v>57</v>
      </c>
      <c r="H9" s="30">
        <f t="shared" si="2"/>
        <v>289</v>
      </c>
      <c r="I9" s="31"/>
    </row>
    <row r="10">
      <c r="A10" s="32"/>
      <c r="B10" s="41" t="s">
        <v>23</v>
      </c>
      <c r="C10" s="42">
        <v>3.0</v>
      </c>
      <c r="D10" s="43" t="s">
        <v>24</v>
      </c>
      <c r="E10" s="44">
        <v>31.0</v>
      </c>
      <c r="F10" s="28" t="s">
        <v>18</v>
      </c>
      <c r="G10" s="36">
        <f t="shared" si="1"/>
        <v>93</v>
      </c>
      <c r="H10" s="37">
        <f t="shared" si="2"/>
        <v>382</v>
      </c>
      <c r="I10" s="38"/>
    </row>
    <row r="11">
      <c r="A11" s="23"/>
      <c r="B11" s="45" t="s">
        <v>25</v>
      </c>
      <c r="C11" s="25">
        <v>1.0</v>
      </c>
      <c r="D11" s="46" t="s">
        <v>26</v>
      </c>
      <c r="E11" s="29">
        <v>11.0</v>
      </c>
      <c r="F11" s="47" t="s">
        <v>27</v>
      </c>
      <c r="G11" s="29">
        <f t="shared" si="1"/>
        <v>11</v>
      </c>
      <c r="H11" s="30">
        <f t="shared" si="2"/>
        <v>393</v>
      </c>
      <c r="I11" s="31"/>
    </row>
    <row r="12">
      <c r="A12" s="48"/>
      <c r="B12" s="48"/>
      <c r="C12" s="48"/>
      <c r="D12" s="49"/>
      <c r="E12" s="50"/>
      <c r="F12" s="51"/>
      <c r="G12" s="52"/>
      <c r="H12" s="52"/>
      <c r="I12" s="52"/>
    </row>
    <row r="13">
      <c r="A13" s="53"/>
      <c r="B13" s="53"/>
      <c r="C13" s="53"/>
      <c r="D13" s="54"/>
      <c r="E13" s="55"/>
      <c r="F13" s="56" t="s">
        <v>28</v>
      </c>
      <c r="G13" s="57"/>
      <c r="H13" s="58">
        <f>SUM(H11)</f>
        <v>393</v>
      </c>
      <c r="I13" s="31"/>
    </row>
    <row r="14">
      <c r="A14" s="59"/>
      <c r="B14" s="59"/>
      <c r="C14" s="59"/>
      <c r="D14" s="60"/>
      <c r="E14" s="61"/>
      <c r="F14" s="62" t="s">
        <v>29</v>
      </c>
      <c r="G14" s="63"/>
      <c r="H14" s="64">
        <v>0.15</v>
      </c>
      <c r="I14" s="38"/>
    </row>
    <row r="15">
      <c r="A15" s="53"/>
      <c r="B15" s="53"/>
      <c r="C15" s="53"/>
      <c r="D15" s="54"/>
      <c r="E15" s="55"/>
      <c r="F15" s="65"/>
      <c r="G15" s="66" t="s">
        <v>30</v>
      </c>
      <c r="H15" s="58">
        <f>H13-H14*H13</f>
        <v>334.05</v>
      </c>
      <c r="I15" s="31"/>
    </row>
    <row r="16">
      <c r="A16" s="59"/>
      <c r="B16" s="59"/>
      <c r="C16" s="59"/>
      <c r="D16" s="60"/>
      <c r="E16" s="61"/>
      <c r="F16" s="67"/>
      <c r="G16" s="68" t="s">
        <v>31</v>
      </c>
      <c r="H16" s="69">
        <f>H15</f>
        <v>334.05</v>
      </c>
      <c r="I16" s="38"/>
    </row>
    <row r="17" ht="12.75" customHeight="1"/>
    <row r="22">
      <c r="A22" s="70"/>
      <c r="B22" s="70"/>
      <c r="C22" s="70"/>
      <c r="D22" s="71"/>
      <c r="E22" s="72"/>
      <c r="F22" s="73"/>
      <c r="G22" s="74"/>
      <c r="H22" s="74"/>
      <c r="I22" s="74"/>
    </row>
    <row r="23">
      <c r="A23" s="75"/>
      <c r="B23" s="75"/>
      <c r="C23" s="75"/>
      <c r="D23" s="76"/>
      <c r="E23" s="77"/>
      <c r="F23" s="78"/>
      <c r="G23" s="79"/>
      <c r="H23" s="79"/>
      <c r="I23" s="75"/>
    </row>
    <row r="24">
      <c r="A24" s="75"/>
      <c r="B24" s="75"/>
      <c r="C24" s="75"/>
      <c r="D24" s="76"/>
      <c r="E24" s="77"/>
      <c r="F24" s="78"/>
      <c r="G24" s="79"/>
      <c r="H24" s="80"/>
      <c r="I24" s="75"/>
    </row>
    <row r="25">
      <c r="A25" s="75"/>
      <c r="B25" s="75"/>
      <c r="C25" s="75"/>
      <c r="D25" s="76"/>
      <c r="E25" s="77"/>
      <c r="F25" s="78"/>
      <c r="G25" s="79"/>
      <c r="H25" s="79"/>
      <c r="I25" s="75"/>
    </row>
    <row r="26">
      <c r="A26" s="75"/>
      <c r="B26" s="75"/>
      <c r="C26" s="75"/>
      <c r="D26" s="76"/>
      <c r="E26" s="77"/>
      <c r="F26" s="81"/>
      <c r="G26" s="79"/>
      <c r="H26" s="79"/>
      <c r="I26" s="75"/>
    </row>
    <row r="27">
      <c r="A27" s="75"/>
      <c r="B27" s="75"/>
      <c r="C27" s="75"/>
      <c r="D27" s="76"/>
      <c r="E27" s="77"/>
      <c r="F27" s="78"/>
      <c r="G27" s="79"/>
      <c r="H27" s="79"/>
      <c r="I27" s="75"/>
    </row>
    <row r="28">
      <c r="A28" s="75"/>
      <c r="B28" s="75"/>
      <c r="C28" s="75"/>
      <c r="D28" s="76"/>
      <c r="E28" s="77"/>
      <c r="F28" s="78"/>
      <c r="G28" s="79"/>
      <c r="H28" s="79"/>
      <c r="I28" s="75"/>
    </row>
    <row r="29">
      <c r="A29" s="75"/>
      <c r="B29" s="75"/>
      <c r="C29" s="75"/>
      <c r="D29" s="76"/>
      <c r="E29" s="77"/>
      <c r="F29" s="78"/>
      <c r="G29" s="79"/>
      <c r="H29" s="79"/>
      <c r="I29" s="75"/>
    </row>
    <row r="30">
      <c r="A30" s="75"/>
      <c r="B30" s="75"/>
      <c r="C30" s="75"/>
      <c r="D30" s="76"/>
      <c r="E30" s="77"/>
      <c r="F30" s="78"/>
      <c r="G30" s="79"/>
      <c r="H30" s="79"/>
      <c r="I30" s="75"/>
    </row>
    <row r="31">
      <c r="A31" s="75"/>
      <c r="B31" s="75"/>
      <c r="C31" s="75"/>
      <c r="D31" s="76"/>
      <c r="E31" s="77"/>
      <c r="F31" s="78"/>
      <c r="G31" s="79"/>
      <c r="H31" s="79"/>
      <c r="I31" s="75"/>
    </row>
    <row r="32">
      <c r="A32" s="75"/>
      <c r="B32" s="75"/>
      <c r="C32" s="75"/>
      <c r="D32" s="76"/>
      <c r="E32" s="77"/>
      <c r="F32" s="78"/>
      <c r="G32" s="79"/>
      <c r="H32" s="79"/>
      <c r="I32" s="75"/>
    </row>
    <row r="33">
      <c r="A33" s="75"/>
      <c r="B33" s="75"/>
      <c r="C33" s="75"/>
      <c r="D33" s="76"/>
      <c r="E33" s="77"/>
      <c r="F33" s="78"/>
      <c r="G33" s="79"/>
      <c r="H33" s="79"/>
      <c r="I33" s="75"/>
    </row>
    <row r="34">
      <c r="A34" s="75"/>
      <c r="B34" s="75"/>
      <c r="C34" s="75"/>
      <c r="D34" s="76"/>
      <c r="E34" s="77"/>
      <c r="F34" s="78"/>
      <c r="G34" s="79"/>
      <c r="H34" s="79"/>
      <c r="I34" s="75"/>
    </row>
    <row r="35">
      <c r="A35" s="75"/>
      <c r="B35" s="75"/>
      <c r="C35" s="75"/>
      <c r="D35" s="76"/>
      <c r="E35" s="77"/>
      <c r="F35" s="78"/>
      <c r="G35" s="79"/>
      <c r="H35" s="79"/>
      <c r="I35" s="75"/>
    </row>
    <row r="36">
      <c r="A36" s="75"/>
      <c r="B36" s="75"/>
      <c r="C36" s="75"/>
      <c r="D36" s="76"/>
      <c r="E36" s="77"/>
      <c r="F36" s="78"/>
      <c r="G36" s="79"/>
      <c r="H36" s="79"/>
      <c r="I36" s="75"/>
    </row>
    <row r="37">
      <c r="A37" s="75"/>
      <c r="B37" s="75"/>
      <c r="C37" s="75"/>
      <c r="D37" s="76"/>
      <c r="E37" s="77"/>
      <c r="F37" s="78"/>
      <c r="G37" s="79"/>
      <c r="H37" s="79"/>
      <c r="I37" s="75"/>
    </row>
    <row r="38">
      <c r="A38" s="75"/>
      <c r="B38" s="75"/>
      <c r="C38" s="75"/>
      <c r="D38" s="76"/>
      <c r="E38" s="77"/>
      <c r="F38" s="78"/>
      <c r="G38" s="79"/>
      <c r="H38" s="79"/>
      <c r="I38" s="75"/>
    </row>
    <row r="39">
      <c r="A39" s="75"/>
      <c r="B39" s="75"/>
      <c r="C39" s="75"/>
      <c r="D39" s="76"/>
      <c r="E39" s="77"/>
      <c r="F39" s="78"/>
      <c r="G39" s="79"/>
      <c r="H39" s="79"/>
      <c r="I39" s="75"/>
    </row>
    <row r="40">
      <c r="A40" s="75"/>
      <c r="B40" s="75"/>
      <c r="C40" s="75"/>
      <c r="D40" s="76"/>
      <c r="E40" s="77"/>
      <c r="F40" s="78"/>
      <c r="G40" s="79"/>
      <c r="H40" s="79"/>
      <c r="I40" s="75"/>
    </row>
    <row r="41" hidden="1">
      <c r="A41" s="82"/>
      <c r="B41" s="82"/>
      <c r="C41" s="82"/>
      <c r="D41" s="83"/>
      <c r="E41" s="84"/>
      <c r="F41" s="85"/>
      <c r="G41" s="86"/>
      <c r="H41" s="86"/>
      <c r="I41" s="82"/>
    </row>
  </sheetData>
  <mergeCells count="5">
    <mergeCell ref="B2:D2"/>
    <mergeCell ref="E2:H2"/>
    <mergeCell ref="B3:D3"/>
    <mergeCell ref="F13:G13"/>
    <mergeCell ref="F14:G14"/>
  </mergeCells>
  <conditionalFormatting sqref="H10:H17 H19 H22:H41">
    <cfRule type="expression" dxfId="1" priority="1">
      <formula>AND(OR($E10="In progress",$E10="Not started" ),OR($H10=today(), $H10=today()+1))</formula>
    </cfRule>
  </conditionalFormatting>
  <conditionalFormatting sqref="G6 H6:H16 G12 G15:G17 G20:G41">
    <cfRule type="timePeriod" dxfId="2" priority="2" timePeriod="today"/>
  </conditionalFormatting>
  <conditionalFormatting sqref="G6 H6:H16 G12 G15:G17 G20:G41">
    <cfRule type="expression" dxfId="1" priority="3">
      <formula>AND($G6&lt;TODAY(), OR($E6="In progress", $E6="Not started"))</formula>
    </cfRule>
  </conditionalFormatting>
  <hyperlinks>
    <hyperlink r:id="rId1" ref="B7"/>
    <hyperlink r:id="rId2" ref="B8"/>
    <hyperlink r:id="rId3" ref="B9"/>
    <hyperlink r:id="rId4" ref="B10"/>
    <hyperlink r:id="rId5" ref="B11"/>
  </hyperlinks>
  <drawing r:id="rId6"/>
</worksheet>
</file>